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paxmann/Documents/AXIS/Promotion/Other/"/>
    </mc:Choice>
  </mc:AlternateContent>
  <xr:revisionPtr revIDLastSave="0" documentId="8_{65971967-594E-7747-AA4A-D61551B9F9B9}" xr6:coauthVersionLast="47" xr6:coauthVersionMax="47" xr10:uidLastSave="{00000000-0000-0000-0000-000000000000}"/>
  <bookViews>
    <workbookView xWindow="5920" yWindow="8980" windowWidth="40960" windowHeight="21500" xr2:uid="{00000000-000D-0000-FFFF-FFFF00000000}"/>
  </bookViews>
  <sheets>
    <sheet name="Terrain Values" sheetId="5" r:id="rId1"/>
    <sheet name="Model" sheetId="1" r:id="rId2"/>
    <sheet name="Terrain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</calcChain>
</file>

<file path=xl/sharedStrings.xml><?xml version="1.0" encoding="utf-8"?>
<sst xmlns="http://schemas.openxmlformats.org/spreadsheetml/2006/main" count="211" uniqueCount="64">
  <si>
    <t>Front Wing Evaluation</t>
  </si>
  <si>
    <t>SUP Downwind</t>
  </si>
  <si>
    <t>Rider Weight
(kg)</t>
  </si>
  <si>
    <t>Wind Speed
(kn)</t>
  </si>
  <si>
    <t>Swell size
(m)</t>
  </si>
  <si>
    <t>Variables</t>
  </si>
  <si>
    <t>Regression coefficients (from Terrain B24:G29)</t>
  </si>
  <si>
    <t>Score</t>
  </si>
  <si>
    <t>coef_Q(Area)</t>
  </si>
  <si>
    <t>coef_T(AR)</t>
  </si>
  <si>
    <t>coef_U(Roll)</t>
  </si>
  <si>
    <t>coef_V(Pitch)</t>
  </si>
  <si>
    <t>Intercept</t>
  </si>
  <si>
    <t>Lift</t>
  </si>
  <si>
    <t>Glide</t>
  </si>
  <si>
    <t>Speed</t>
  </si>
  <si>
    <t>Carving</t>
  </si>
  <si>
    <t>Pump</t>
  </si>
  <si>
    <t>Comfort</t>
  </si>
  <si>
    <t>Front wings</t>
  </si>
  <si>
    <t>Foil Front Wing features (mm)</t>
  </si>
  <si>
    <t>TEMPO</t>
  </si>
  <si>
    <t>Span
(mm)</t>
  </si>
  <si>
    <t>Maximum
Chord (mm)</t>
  </si>
  <si>
    <t>Maximum
Thickness
(mm)</t>
  </si>
  <si>
    <t>Mean
Average
Chord (mm)</t>
  </si>
  <si>
    <t>Thickness
Percentage</t>
  </si>
  <si>
    <t>Camber
Percentage</t>
  </si>
  <si>
    <t>Dihedral/
Turndown (mm)</t>
  </si>
  <si>
    <t>tip twist
(degrees)</t>
  </si>
  <si>
    <t>Span / Turndown
(percentage)</t>
  </si>
  <si>
    <t>True Area
(sqr cm.)</t>
  </si>
  <si>
    <t>Projected
Area (sqr cm.)</t>
  </si>
  <si>
    <t>Volume
(cm cubed)</t>
  </si>
  <si>
    <t>Aspect
Ratio</t>
  </si>
  <si>
    <t>2nd  Moments
of Area : Roll</t>
  </si>
  <si>
    <t>2nd  Moments
of Area : Pitch</t>
  </si>
  <si>
    <t>AXIS TEMPO 1180</t>
  </si>
  <si>
    <t>11,60 %</t>
  </si>
  <si>
    <t>3,70 %</t>
  </si>
  <si>
    <t>1,90 %</t>
  </si>
  <si>
    <t>AXIS TEMPO 1090</t>
  </si>
  <si>
    <t>2,13 %</t>
  </si>
  <si>
    <t>AXIS TEMPO 1020</t>
  </si>
  <si>
    <t>1,96 %</t>
  </si>
  <si>
    <t>AXIS TEMPO 960</t>
  </si>
  <si>
    <t>1,95 %</t>
  </si>
  <si>
    <t>AXIS TEMPO 920</t>
  </si>
  <si>
    <t>2,08 %</t>
  </si>
  <si>
    <t>AXIS TEMPO 890</t>
  </si>
  <si>
    <t>2,02 %</t>
  </si>
  <si>
    <t>Score 0 to 100</t>
  </si>
  <si>
    <t>Score 0 to 100 for variables riders wheight 70k, wind speed 25kn, swell size 1m</t>
  </si>
  <si>
    <t>Fireball 1750</t>
  </si>
  <si>
    <t>Fireball 1500</t>
  </si>
  <si>
    <t>Fireball 1350</t>
  </si>
  <si>
    <t>Fireball 1250</t>
  </si>
  <si>
    <t>Fireball 1160</t>
  </si>
  <si>
    <t>Fireball 1070</t>
  </si>
  <si>
    <t>Fireball 1000</t>
  </si>
  <si>
    <t>Fireball 940</t>
  </si>
  <si>
    <t>Fireball 880</t>
  </si>
  <si>
    <t>Fireball</t>
  </si>
  <si>
    <t>Score 0 to 100 for variables riders wheight 70k, wind speed 25kn, swell size 1m - For Downwind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</si>
</sst>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theme="1"/>
      <name val="Calibri"/>
      <family val="2"/>
    </font>
    <font>
      <sz val="12"/>
      <color rgb="FF807F7F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0" borderId="0"/>
  </cellStyleXfs>
  <cellXfs count="49">
    <xf numFmtId="0" fontId="0" fillId="0" borderId="0" xfId="0"/>
    <xf numFmtId="0" fontId="1" fillId="0" borderId="0" xfId="3"/>
    <xf numFmtId="0" fontId="4" fillId="0" borderId="0" xfId="3" applyFont="1"/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/>
    <xf numFmtId="0" fontId="6" fillId="0" borderId="4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5" xfId="3" applyFont="1" applyBorder="1"/>
    <xf numFmtId="0" fontId="1" fillId="0" borderId="0" xfId="3" applyAlignment="1">
      <alignment vertical="center"/>
    </xf>
    <xf numFmtId="0" fontId="5" fillId="0" borderId="0" xfId="3" applyFont="1" applyAlignment="1">
      <alignment horizontal="center" vertical="center" wrapText="1"/>
    </xf>
    <xf numFmtId="0" fontId="4" fillId="0" borderId="4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5" xfId="3" applyFont="1" applyBorder="1" applyAlignment="1">
      <alignment horizontal="center"/>
    </xf>
    <xf numFmtId="0" fontId="7" fillId="0" borderId="6" xfId="3" applyFont="1" applyBorder="1" applyAlignment="1">
      <alignment horizontal="center"/>
    </xf>
    <xf numFmtId="0" fontId="7" fillId="0" borderId="7" xfId="3" applyFont="1" applyBorder="1" applyAlignment="1">
      <alignment horizontal="center"/>
    </xf>
    <xf numFmtId="0" fontId="7" fillId="0" borderId="8" xfId="3" applyFont="1" applyBorder="1" applyAlignment="1">
      <alignment horizontal="center"/>
    </xf>
    <xf numFmtId="0" fontId="4" fillId="0" borderId="5" xfId="3" applyFont="1" applyBorder="1"/>
    <xf numFmtId="0" fontId="4" fillId="0" borderId="1" xfId="3" applyFont="1" applyBorder="1" applyAlignment="1">
      <alignment horizontal="center" vertical="center"/>
    </xf>
    <xf numFmtId="0" fontId="4" fillId="0" borderId="2" xfId="3" applyFont="1" applyBorder="1"/>
    <xf numFmtId="0" fontId="6" fillId="0" borderId="3" xfId="3" applyFont="1" applyBorder="1" applyAlignment="1">
      <alignment horizontal="right"/>
    </xf>
    <xf numFmtId="0" fontId="6" fillId="0" borderId="5" xfId="3" applyFont="1" applyBorder="1" applyAlignment="1">
      <alignment horizontal="right"/>
    </xf>
    <xf numFmtId="0" fontId="4" fillId="0" borderId="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right"/>
    </xf>
    <xf numFmtId="0" fontId="8" fillId="0" borderId="4" xfId="3" applyFont="1" applyBorder="1" applyAlignment="1">
      <alignment horizontal="center"/>
    </xf>
    <xf numFmtId="0" fontId="8" fillId="0" borderId="0" xfId="3" applyFont="1" applyAlignment="1">
      <alignment horizontal="center"/>
    </xf>
    <xf numFmtId="0" fontId="8" fillId="0" borderId="5" xfId="3" applyFont="1" applyBorder="1" applyAlignment="1">
      <alignment horizontal="center"/>
    </xf>
    <xf numFmtId="0" fontId="9" fillId="0" borderId="6" xfId="3" applyFont="1" applyBorder="1" applyAlignment="1">
      <alignment horizontal="center"/>
    </xf>
    <xf numFmtId="0" fontId="9" fillId="0" borderId="7" xfId="3" applyFont="1" applyBorder="1" applyAlignment="1">
      <alignment horizontal="center"/>
    </xf>
    <xf numFmtId="0" fontId="9" fillId="0" borderId="8" xfId="3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5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0" fontId="1" fillId="0" borderId="0" xfId="3" applyBorder="1"/>
    <xf numFmtId="0" fontId="1" fillId="0" borderId="0" xfId="3" applyAlignment="1">
      <alignment horizontal="center" vertical="center"/>
    </xf>
    <xf numFmtId="2" fontId="10" fillId="0" borderId="12" xfId="0" applyNumberFormat="1" applyFont="1" applyBorder="1"/>
    <xf numFmtId="2" fontId="10" fillId="0" borderId="0" xfId="0" applyNumberFormat="1" applyFont="1" applyBorder="1"/>
    <xf numFmtId="2" fontId="10" fillId="0" borderId="13" xfId="0" applyNumberFormat="1" applyFont="1" applyBorder="1"/>
    <xf numFmtId="10" fontId="10" fillId="0" borderId="0" xfId="0" applyNumberFormat="1" applyFont="1" applyBorder="1"/>
    <xf numFmtId="10" fontId="10" fillId="0" borderId="0" xfId="1" applyNumberFormat="1" applyFont="1" applyFill="1" applyBorder="1" applyAlignment="1">
      <alignment horizontal="right"/>
    </xf>
    <xf numFmtId="1" fontId="10" fillId="0" borderId="0" xfId="0" applyNumberFormat="1" applyFont="1" applyBorder="1"/>
    <xf numFmtId="2" fontId="10" fillId="0" borderId="0" xfId="2" applyNumberFormat="1" applyFont="1" applyFill="1" applyBorder="1"/>
  </cellXfs>
  <cellStyles count="4">
    <cellStyle name="Normal" xfId="0" builtinId="0"/>
    <cellStyle name="Normal 2" xfId="3" xr:uid="{F1522D22-B968-5448-A592-0D91373E3000}"/>
    <cellStyle name="Pourcentage" xfId="1" builtinId="5"/>
    <cellStyle name="Satisfaisant" xfId="2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46EC-6C40-8E4C-829B-5FDC7085B950}">
  <dimension ref="A1:W44"/>
  <sheetViews>
    <sheetView tabSelected="1" topLeftCell="A6" workbookViewId="0">
      <selection activeCell="K17" sqref="K17"/>
    </sheetView>
  </sheetViews>
  <sheetFormatPr baseColWidth="10" defaultRowHeight="16" x14ac:dyDescent="0.2"/>
  <cols>
    <col min="1" max="1" width="16.83203125" style="1" customWidth="1"/>
    <col min="2" max="22" width="12.83203125" style="1" customWidth="1"/>
    <col min="23" max="16384" width="10.83203125" style="1"/>
  </cols>
  <sheetData>
    <row r="1" spans="1:22" ht="21" x14ac:dyDescent="0.25">
      <c r="A1" s="36" t="s">
        <v>0</v>
      </c>
      <c r="B1" s="35"/>
      <c r="C1" s="35"/>
      <c r="D1" s="35"/>
      <c r="E1" s="35"/>
      <c r="F1" s="35"/>
      <c r="G1" s="3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20" thickBot="1" x14ac:dyDescent="0.3">
      <c r="A2" s="33" t="s">
        <v>1</v>
      </c>
      <c r="B2" s="32"/>
      <c r="C2" s="32"/>
      <c r="D2" s="32"/>
      <c r="E2" s="32"/>
      <c r="F2" s="32"/>
      <c r="G2" s="3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3" customHeight="1" x14ac:dyDescent="0.2">
      <c r="A3" s="30"/>
      <c r="B3" s="29" t="s">
        <v>2</v>
      </c>
      <c r="C3" s="29" t="s">
        <v>3</v>
      </c>
      <c r="D3" s="28" t="s">
        <v>4</v>
      </c>
      <c r="E3" s="3"/>
      <c r="F3" s="3"/>
      <c r="G3" s="1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">
      <c r="A4" s="24" t="s">
        <v>5</v>
      </c>
      <c r="B4" s="9">
        <v>50</v>
      </c>
      <c r="C4" s="9">
        <v>5</v>
      </c>
      <c r="D4" s="13">
        <v>0.2</v>
      </c>
      <c r="E4" s="3"/>
      <c r="F4" s="3"/>
      <c r="G4" s="1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">
      <c r="A5" s="24"/>
      <c r="B5" s="9">
        <v>55</v>
      </c>
      <c r="C5" s="9">
        <v>10</v>
      </c>
      <c r="D5" s="13">
        <v>0.4</v>
      </c>
      <c r="E5" s="3"/>
      <c r="F5" s="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">
      <c r="A6" s="24"/>
      <c r="B6" s="9">
        <v>60</v>
      </c>
      <c r="C6" s="9">
        <v>15</v>
      </c>
      <c r="D6" s="13">
        <v>0.6</v>
      </c>
      <c r="E6" s="3"/>
      <c r="F6" s="3"/>
      <c r="G6" s="1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7" thickBot="1" x14ac:dyDescent="0.25">
      <c r="A7" s="24"/>
      <c r="B7" s="9">
        <v>65</v>
      </c>
      <c r="C7" s="9">
        <v>20</v>
      </c>
      <c r="D7" s="13">
        <v>0.8</v>
      </c>
      <c r="E7" s="3"/>
      <c r="F7" s="3"/>
      <c r="G7" s="1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7" thickBot="1" x14ac:dyDescent="0.25">
      <c r="A8" s="24"/>
      <c r="B8" s="27">
        <v>70</v>
      </c>
      <c r="C8" s="26">
        <v>25</v>
      </c>
      <c r="D8" s="25">
        <v>1</v>
      </c>
      <c r="E8" s="3"/>
      <c r="F8" s="3"/>
      <c r="G8" s="1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2">
      <c r="A9" s="24"/>
      <c r="B9" s="9">
        <v>75</v>
      </c>
      <c r="C9" s="9">
        <v>30</v>
      </c>
      <c r="D9" s="13">
        <v>1.2</v>
      </c>
      <c r="E9" s="3"/>
      <c r="F9" s="3"/>
      <c r="G9" s="1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2">
      <c r="A10" s="24"/>
      <c r="B10" s="9">
        <v>80</v>
      </c>
      <c r="C10" s="9">
        <v>35</v>
      </c>
      <c r="D10" s="13">
        <v>1.4</v>
      </c>
      <c r="E10" s="3"/>
      <c r="F10" s="3"/>
      <c r="G10" s="1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2">
      <c r="A11" s="24"/>
      <c r="B11" s="9">
        <v>85</v>
      </c>
      <c r="C11" s="9">
        <v>40</v>
      </c>
      <c r="D11" s="13">
        <v>1.6</v>
      </c>
      <c r="E11" s="3"/>
      <c r="F11" s="3"/>
      <c r="G11" s="1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A12" s="24"/>
      <c r="B12" s="9">
        <v>90</v>
      </c>
      <c r="C12" s="9">
        <v>45</v>
      </c>
      <c r="D12" s="13">
        <v>1.8</v>
      </c>
      <c r="E12" s="3"/>
      <c r="F12" s="3"/>
      <c r="G12" s="1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">
      <c r="A13" s="24"/>
      <c r="B13" s="9">
        <v>95</v>
      </c>
      <c r="C13" s="9">
        <v>50</v>
      </c>
      <c r="D13" s="13">
        <v>2</v>
      </c>
      <c r="E13" s="3"/>
      <c r="F13" s="3"/>
      <c r="G13" s="1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2">
      <c r="A14" s="24"/>
      <c r="B14" s="9">
        <v>100</v>
      </c>
      <c r="C14" s="9"/>
      <c r="D14" s="13">
        <v>2.2000000000000002</v>
      </c>
      <c r="E14" s="3"/>
      <c r="F14" s="3"/>
      <c r="G14" s="1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2">
      <c r="A15" s="24"/>
      <c r="B15" s="9">
        <v>105</v>
      </c>
      <c r="C15" s="9"/>
      <c r="D15" s="13">
        <v>2.4</v>
      </c>
      <c r="E15" s="3"/>
      <c r="F15" s="3"/>
      <c r="G15" s="1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">
      <c r="A16" s="24"/>
      <c r="B16" s="9">
        <v>110</v>
      </c>
      <c r="C16" s="9"/>
      <c r="D16" s="13">
        <v>2.6</v>
      </c>
      <c r="E16" s="3"/>
      <c r="F16" s="3"/>
      <c r="G16" s="1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">
      <c r="A17" s="24"/>
      <c r="B17" s="9">
        <v>115</v>
      </c>
      <c r="C17" s="9"/>
      <c r="D17" s="13">
        <v>2.8</v>
      </c>
      <c r="E17" s="3"/>
      <c r="F17" s="3"/>
      <c r="G17" s="1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">
      <c r="A18" s="24"/>
      <c r="B18" s="2"/>
      <c r="C18" s="9"/>
      <c r="D18" s="13">
        <v>3</v>
      </c>
      <c r="E18" s="3"/>
      <c r="F18" s="3"/>
      <c r="G18" s="1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7" thickBot="1" x14ac:dyDescent="0.25">
      <c r="A19" s="23"/>
      <c r="B19" s="22"/>
      <c r="C19" s="6"/>
      <c r="D19" s="21">
        <v>3.2</v>
      </c>
      <c r="E19" s="3"/>
      <c r="F19" s="3"/>
      <c r="G19" s="1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7" thickBot="1" x14ac:dyDescent="0.25">
      <c r="A20" s="20"/>
      <c r="B20" s="3"/>
      <c r="C20" s="3"/>
      <c r="D20" s="3"/>
      <c r="E20" s="3"/>
      <c r="F20" s="3"/>
      <c r="G20" s="1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">
      <c r="A21" s="19" t="s">
        <v>52</v>
      </c>
      <c r="B21" s="18"/>
      <c r="C21" s="18"/>
      <c r="D21" s="18"/>
      <c r="E21" s="18"/>
      <c r="F21" s="18"/>
      <c r="G21" s="1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3" customHeight="1" x14ac:dyDescent="0.2">
      <c r="A22" s="16" t="s">
        <v>19</v>
      </c>
      <c r="B22" s="9" t="s">
        <v>13</v>
      </c>
      <c r="C22" s="9" t="s">
        <v>14</v>
      </c>
      <c r="D22" s="9" t="s">
        <v>15</v>
      </c>
      <c r="E22" s="9" t="s">
        <v>16</v>
      </c>
      <c r="F22" s="9" t="s">
        <v>17</v>
      </c>
      <c r="G22" s="8" t="s">
        <v>18</v>
      </c>
      <c r="H22" s="15" t="s">
        <v>20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s="11" customFormat="1" ht="51" x14ac:dyDescent="0.2">
      <c r="A23" s="14" t="s">
        <v>21</v>
      </c>
      <c r="B23" s="3"/>
      <c r="C23" s="3"/>
      <c r="D23" s="3"/>
      <c r="E23" s="3"/>
      <c r="F23" s="3"/>
      <c r="G23" s="13"/>
      <c r="H23" s="12" t="s">
        <v>22</v>
      </c>
      <c r="I23" s="12" t="s">
        <v>23</v>
      </c>
      <c r="J23" s="12" t="s">
        <v>24</v>
      </c>
      <c r="K23" s="12" t="s">
        <v>25</v>
      </c>
      <c r="L23" s="12" t="s">
        <v>26</v>
      </c>
      <c r="M23" s="12" t="s">
        <v>27</v>
      </c>
      <c r="N23" s="12" t="s">
        <v>28</v>
      </c>
      <c r="O23" s="12" t="s">
        <v>29</v>
      </c>
      <c r="P23" s="12" t="s">
        <v>30</v>
      </c>
      <c r="Q23" s="12" t="s">
        <v>31</v>
      </c>
      <c r="R23" s="12" t="s">
        <v>32</v>
      </c>
      <c r="S23" s="12" t="s">
        <v>33</v>
      </c>
      <c r="T23" s="12" t="s">
        <v>34</v>
      </c>
      <c r="U23" s="12" t="s">
        <v>35</v>
      </c>
      <c r="V23" s="12" t="s">
        <v>36</v>
      </c>
    </row>
    <row r="24" spans="1:22" x14ac:dyDescent="0.2">
      <c r="A24" s="10" t="s">
        <v>37</v>
      </c>
      <c r="B24" s="9">
        <v>80</v>
      </c>
      <c r="C24" s="9">
        <v>85</v>
      </c>
      <c r="D24" s="9">
        <v>55</v>
      </c>
      <c r="E24" s="9">
        <v>55</v>
      </c>
      <c r="F24" s="9">
        <v>70</v>
      </c>
      <c r="G24" s="8">
        <v>65</v>
      </c>
      <c r="H24" s="4">
        <v>1180</v>
      </c>
      <c r="I24" s="4">
        <v>127</v>
      </c>
      <c r="J24" s="4">
        <v>14.73</v>
      </c>
      <c r="K24" s="4">
        <v>67.290000000000006</v>
      </c>
      <c r="L24" s="4" t="s">
        <v>38</v>
      </c>
      <c r="M24" s="4" t="s">
        <v>39</v>
      </c>
      <c r="N24" s="4">
        <v>22.42</v>
      </c>
      <c r="O24" s="4">
        <v>1</v>
      </c>
      <c r="P24" s="4" t="s">
        <v>40</v>
      </c>
      <c r="Q24" s="4">
        <v>794</v>
      </c>
      <c r="R24" s="4">
        <v>794</v>
      </c>
      <c r="S24" s="4">
        <v>497</v>
      </c>
      <c r="T24" s="4">
        <v>17.54</v>
      </c>
      <c r="U24" s="4">
        <v>6149</v>
      </c>
      <c r="V24" s="4">
        <v>45</v>
      </c>
    </row>
    <row r="25" spans="1:22" x14ac:dyDescent="0.2">
      <c r="A25" s="10" t="s">
        <v>41</v>
      </c>
      <c r="B25" s="9">
        <v>70</v>
      </c>
      <c r="C25" s="9">
        <v>80</v>
      </c>
      <c r="D25" s="9">
        <v>60</v>
      </c>
      <c r="E25" s="9">
        <v>60</v>
      </c>
      <c r="F25" s="9">
        <v>60</v>
      </c>
      <c r="G25" s="8">
        <v>60</v>
      </c>
      <c r="H25" s="4">
        <v>1090</v>
      </c>
      <c r="I25" s="4">
        <v>117.55</v>
      </c>
      <c r="J25" s="4">
        <v>13.64</v>
      </c>
      <c r="K25" s="4">
        <v>68.44</v>
      </c>
      <c r="L25" s="4" t="s">
        <v>38</v>
      </c>
      <c r="M25" s="4" t="s">
        <v>39</v>
      </c>
      <c r="N25" s="4">
        <v>23.23</v>
      </c>
      <c r="O25" s="4">
        <v>1</v>
      </c>
      <c r="P25" s="4" t="s">
        <v>42</v>
      </c>
      <c r="Q25" s="4">
        <v>746</v>
      </c>
      <c r="R25" s="4">
        <v>746</v>
      </c>
      <c r="S25" s="4">
        <v>480</v>
      </c>
      <c r="T25" s="4">
        <v>15.93</v>
      </c>
      <c r="U25" s="4">
        <v>4881</v>
      </c>
      <c r="V25" s="4">
        <v>43</v>
      </c>
    </row>
    <row r="26" spans="1:22" x14ac:dyDescent="0.2">
      <c r="A26" s="10" t="s">
        <v>43</v>
      </c>
      <c r="B26" s="9">
        <v>60</v>
      </c>
      <c r="C26" s="9">
        <v>75</v>
      </c>
      <c r="D26" s="9">
        <v>65</v>
      </c>
      <c r="E26" s="9">
        <v>65</v>
      </c>
      <c r="F26" s="9">
        <v>50</v>
      </c>
      <c r="G26" s="8">
        <v>55</v>
      </c>
      <c r="H26" s="4">
        <v>1020</v>
      </c>
      <c r="I26" s="4">
        <v>110</v>
      </c>
      <c r="J26" s="4">
        <v>12.76</v>
      </c>
      <c r="K26" s="4">
        <v>64.02</v>
      </c>
      <c r="L26" s="4" t="s">
        <v>38</v>
      </c>
      <c r="M26" s="4" t="s">
        <v>39</v>
      </c>
      <c r="N26" s="4">
        <v>19.95</v>
      </c>
      <c r="O26" s="4">
        <v>1</v>
      </c>
      <c r="P26" s="4" t="s">
        <v>44</v>
      </c>
      <c r="Q26" s="4">
        <v>653</v>
      </c>
      <c r="R26" s="4">
        <v>653</v>
      </c>
      <c r="S26" s="4">
        <v>394</v>
      </c>
      <c r="T26" s="4">
        <v>15.93</v>
      </c>
      <c r="U26" s="4">
        <v>3739</v>
      </c>
      <c r="V26" s="4">
        <v>33</v>
      </c>
    </row>
    <row r="27" spans="1:22" x14ac:dyDescent="0.2">
      <c r="A27" s="10" t="s">
        <v>45</v>
      </c>
      <c r="B27" s="9">
        <v>50</v>
      </c>
      <c r="C27" s="9">
        <v>70</v>
      </c>
      <c r="D27" s="9">
        <v>70</v>
      </c>
      <c r="E27" s="9">
        <v>70</v>
      </c>
      <c r="F27" s="9">
        <v>40</v>
      </c>
      <c r="G27" s="8">
        <v>50</v>
      </c>
      <c r="H27" s="4">
        <v>960</v>
      </c>
      <c r="I27" s="4">
        <v>102</v>
      </c>
      <c r="J27" s="4">
        <v>11.83</v>
      </c>
      <c r="K27" s="4">
        <v>60.21</v>
      </c>
      <c r="L27" s="4" t="s">
        <v>38</v>
      </c>
      <c r="M27" s="4" t="s">
        <v>39</v>
      </c>
      <c r="N27" s="4">
        <v>18.690000000000001</v>
      </c>
      <c r="O27" s="4">
        <v>1</v>
      </c>
      <c r="P27" s="4" t="s">
        <v>46</v>
      </c>
      <c r="Q27" s="4">
        <v>578</v>
      </c>
      <c r="R27" s="4">
        <v>578</v>
      </c>
      <c r="S27" s="4">
        <v>261</v>
      </c>
      <c r="T27" s="4">
        <v>15.94</v>
      </c>
      <c r="U27" s="4">
        <v>2969</v>
      </c>
      <c r="V27" s="4">
        <v>25</v>
      </c>
    </row>
    <row r="28" spans="1:22" x14ac:dyDescent="0.2">
      <c r="A28" s="10" t="s">
        <v>47</v>
      </c>
      <c r="B28" s="9">
        <v>40</v>
      </c>
      <c r="C28" s="9">
        <v>65</v>
      </c>
      <c r="D28" s="9">
        <v>75</v>
      </c>
      <c r="E28" s="9">
        <v>75</v>
      </c>
      <c r="F28" s="9">
        <v>30</v>
      </c>
      <c r="G28" s="8">
        <v>45</v>
      </c>
      <c r="H28" s="4">
        <v>920</v>
      </c>
      <c r="I28" s="4">
        <v>95</v>
      </c>
      <c r="J28" s="4">
        <v>11.02</v>
      </c>
      <c r="K28" s="4">
        <v>57.39</v>
      </c>
      <c r="L28" s="4" t="s">
        <v>38</v>
      </c>
      <c r="M28" s="4" t="s">
        <v>39</v>
      </c>
      <c r="N28" s="4">
        <v>19.09</v>
      </c>
      <c r="O28" s="4">
        <v>1</v>
      </c>
      <c r="P28" s="4" t="s">
        <v>48</v>
      </c>
      <c r="Q28" s="4">
        <v>528</v>
      </c>
      <c r="R28" s="4">
        <v>528</v>
      </c>
      <c r="S28" s="4">
        <v>170</v>
      </c>
      <c r="T28" s="4">
        <v>16.03</v>
      </c>
      <c r="U28" s="4">
        <v>2472</v>
      </c>
      <c r="V28" s="4">
        <v>21</v>
      </c>
    </row>
    <row r="29" spans="1:22" ht="17" thickBot="1" x14ac:dyDescent="0.25">
      <c r="A29" s="7" t="s">
        <v>49</v>
      </c>
      <c r="B29" s="6">
        <v>30</v>
      </c>
      <c r="C29" s="6">
        <v>60</v>
      </c>
      <c r="D29" s="6">
        <v>80</v>
      </c>
      <c r="E29" s="6">
        <v>80</v>
      </c>
      <c r="F29" s="6">
        <v>20</v>
      </c>
      <c r="G29" s="5">
        <v>40</v>
      </c>
      <c r="H29" s="4">
        <v>890</v>
      </c>
      <c r="I29" s="4">
        <v>92</v>
      </c>
      <c r="J29" s="4">
        <v>10.67</v>
      </c>
      <c r="K29" s="4">
        <v>55.63</v>
      </c>
      <c r="L29" s="4" t="s">
        <v>38</v>
      </c>
      <c r="M29" s="4" t="s">
        <v>39</v>
      </c>
      <c r="N29" s="4">
        <v>17.940000000000001</v>
      </c>
      <c r="O29" s="4">
        <v>1</v>
      </c>
      <c r="P29" s="4" t="s">
        <v>50</v>
      </c>
      <c r="Q29" s="4">
        <v>495</v>
      </c>
      <c r="R29" s="4">
        <v>495</v>
      </c>
      <c r="S29" s="3"/>
      <c r="T29" s="4">
        <v>16</v>
      </c>
      <c r="U29" s="4">
        <v>2184</v>
      </c>
      <c r="V29" s="4">
        <v>19</v>
      </c>
    </row>
    <row r="30" spans="1:22" x14ac:dyDescent="0.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7" thickBo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">
      <c r="A32" s="19" t="s">
        <v>63</v>
      </c>
      <c r="B32" s="18"/>
      <c r="C32" s="18"/>
      <c r="D32" s="18"/>
      <c r="E32" s="18"/>
      <c r="F32" s="18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3" ht="22" customHeight="1" x14ac:dyDescent="0.2">
      <c r="A33" s="16" t="s">
        <v>19</v>
      </c>
      <c r="B33" s="9" t="s">
        <v>13</v>
      </c>
      <c r="C33" s="9" t="s">
        <v>14</v>
      </c>
      <c r="D33" s="9" t="s">
        <v>15</v>
      </c>
      <c r="E33" s="9" t="s">
        <v>16</v>
      </c>
      <c r="F33" s="9" t="s">
        <v>17</v>
      </c>
      <c r="G33" s="8" t="s">
        <v>18</v>
      </c>
      <c r="H33" s="15" t="s">
        <v>20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3" ht="57" customHeight="1" x14ac:dyDescent="0.2">
      <c r="A34" s="38" t="s">
        <v>62</v>
      </c>
      <c r="B34" s="3"/>
      <c r="C34" s="3"/>
      <c r="D34" s="3"/>
      <c r="E34" s="3"/>
      <c r="F34" s="3"/>
      <c r="G34" s="13"/>
      <c r="H34" s="12" t="s">
        <v>22</v>
      </c>
      <c r="I34" s="12" t="s">
        <v>23</v>
      </c>
      <c r="J34" s="12" t="s">
        <v>24</v>
      </c>
      <c r="K34" s="12" t="s">
        <v>25</v>
      </c>
      <c r="L34" s="12" t="s">
        <v>26</v>
      </c>
      <c r="M34" s="12" t="s">
        <v>27</v>
      </c>
      <c r="N34" s="12" t="s">
        <v>28</v>
      </c>
      <c r="O34" s="12" t="s">
        <v>29</v>
      </c>
      <c r="P34" s="12" t="s">
        <v>30</v>
      </c>
      <c r="Q34" s="12" t="s">
        <v>31</v>
      </c>
      <c r="R34" s="12" t="s">
        <v>32</v>
      </c>
      <c r="S34" s="12" t="s">
        <v>33</v>
      </c>
      <c r="T34" s="12" t="s">
        <v>34</v>
      </c>
      <c r="U34" s="12" t="s">
        <v>35</v>
      </c>
      <c r="V34" s="12" t="s">
        <v>36</v>
      </c>
    </row>
    <row r="35" spans="1:23" x14ac:dyDescent="0.2">
      <c r="A35" s="37" t="s">
        <v>53</v>
      </c>
      <c r="B35" s="9">
        <v>95</v>
      </c>
      <c r="C35" s="9">
        <v>95</v>
      </c>
      <c r="D35" s="9">
        <v>30</v>
      </c>
      <c r="E35" s="39">
        <v>15</v>
      </c>
      <c r="F35" s="9">
        <v>95</v>
      </c>
      <c r="G35" s="41">
        <v>10</v>
      </c>
      <c r="H35" s="42">
        <v>1750</v>
      </c>
      <c r="I35" s="43">
        <v>150</v>
      </c>
      <c r="J35" s="44">
        <v>17.400000000000002</v>
      </c>
      <c r="K35" s="43">
        <v>86.971428571428561</v>
      </c>
      <c r="L35" s="45">
        <v>0.11600000000000001</v>
      </c>
      <c r="M35" s="45">
        <v>3.6999999999999998E-2</v>
      </c>
      <c r="N35" s="43">
        <v>33.25</v>
      </c>
      <c r="O35" s="43">
        <v>0</v>
      </c>
      <c r="P35" s="46">
        <v>1.9E-2</v>
      </c>
      <c r="Q35" s="47">
        <v>1525</v>
      </c>
      <c r="R35" s="47">
        <v>1522</v>
      </c>
      <c r="S35" s="47">
        <v>1211.19</v>
      </c>
      <c r="T35" s="48">
        <v>20.1215505913272</v>
      </c>
      <c r="U35" s="47">
        <v>25946</v>
      </c>
      <c r="V35" s="47">
        <v>141</v>
      </c>
      <c r="W35" s="40"/>
    </row>
    <row r="36" spans="1:23" x14ac:dyDescent="0.2">
      <c r="A36" s="37" t="s">
        <v>54</v>
      </c>
      <c r="B36" s="9">
        <v>90</v>
      </c>
      <c r="C36" s="9">
        <v>90</v>
      </c>
      <c r="D36" s="9">
        <v>35</v>
      </c>
      <c r="E36" s="9">
        <v>25</v>
      </c>
      <c r="F36" s="9">
        <v>90</v>
      </c>
      <c r="G36" s="41">
        <v>20</v>
      </c>
      <c r="H36" s="42">
        <v>1500</v>
      </c>
      <c r="I36" s="43">
        <v>127.94</v>
      </c>
      <c r="J36" s="44">
        <v>14.841040000000001</v>
      </c>
      <c r="K36" s="43">
        <v>87.466666666666669</v>
      </c>
      <c r="L36" s="45">
        <v>0.11600000000000001</v>
      </c>
      <c r="M36" s="45">
        <v>3.6999999999999998E-2</v>
      </c>
      <c r="N36" s="43">
        <v>28.5</v>
      </c>
      <c r="O36" s="43">
        <v>0</v>
      </c>
      <c r="P36" s="46">
        <v>1.9E-2</v>
      </c>
      <c r="Q36" s="47">
        <v>1313</v>
      </c>
      <c r="R36" s="47">
        <v>1312</v>
      </c>
      <c r="S36" s="47">
        <v>1039.5</v>
      </c>
      <c r="T36" s="48">
        <v>17.149390243902438</v>
      </c>
      <c r="U36" s="47">
        <v>16533</v>
      </c>
      <c r="V36" s="47">
        <v>122</v>
      </c>
      <c r="W36" s="40"/>
    </row>
    <row r="37" spans="1:23" x14ac:dyDescent="0.2">
      <c r="A37" s="37" t="s">
        <v>55</v>
      </c>
      <c r="B37" s="9">
        <v>85</v>
      </c>
      <c r="C37" s="9">
        <v>85</v>
      </c>
      <c r="D37" s="9">
        <v>40</v>
      </c>
      <c r="E37" s="9">
        <v>35</v>
      </c>
      <c r="F37" s="9">
        <v>85</v>
      </c>
      <c r="G37" s="41">
        <v>30</v>
      </c>
      <c r="H37" s="42">
        <v>1350</v>
      </c>
      <c r="I37" s="43">
        <v>132</v>
      </c>
      <c r="J37" s="44">
        <v>15.312000000000001</v>
      </c>
      <c r="K37" s="43">
        <v>96.878518518518504</v>
      </c>
      <c r="L37" s="45">
        <v>0.11600000000000001</v>
      </c>
      <c r="M37" s="45">
        <v>3.6999999999999998E-2</v>
      </c>
      <c r="N37" s="43">
        <v>25.65</v>
      </c>
      <c r="O37" s="43">
        <v>0</v>
      </c>
      <c r="P37" s="46">
        <v>1.9E-2</v>
      </c>
      <c r="Q37" s="47">
        <v>1308.78</v>
      </c>
      <c r="R37" s="47">
        <v>1307.8599999999999</v>
      </c>
      <c r="S37" s="47">
        <v>1111.8</v>
      </c>
      <c r="T37" s="48">
        <v>13.934977749912072</v>
      </c>
      <c r="U37" s="47">
        <v>14073</v>
      </c>
      <c r="V37" s="47">
        <v>133</v>
      </c>
      <c r="W37" s="40"/>
    </row>
    <row r="38" spans="1:23" x14ac:dyDescent="0.2">
      <c r="A38" s="37" t="s">
        <v>56</v>
      </c>
      <c r="B38" s="9">
        <v>80</v>
      </c>
      <c r="C38" s="9">
        <v>80</v>
      </c>
      <c r="D38" s="9">
        <v>45</v>
      </c>
      <c r="E38" s="39">
        <v>50</v>
      </c>
      <c r="F38" s="9">
        <v>80</v>
      </c>
      <c r="G38" s="9">
        <v>40</v>
      </c>
      <c r="H38" s="42">
        <v>1250</v>
      </c>
      <c r="I38" s="43">
        <v>123</v>
      </c>
      <c r="J38" s="44">
        <v>14.268000000000001</v>
      </c>
      <c r="K38" s="43">
        <v>90.541600000000003</v>
      </c>
      <c r="L38" s="45">
        <v>0.11600000000000001</v>
      </c>
      <c r="M38" s="45">
        <v>3.6999999999999998E-2</v>
      </c>
      <c r="N38" s="43">
        <v>23.75</v>
      </c>
      <c r="O38" s="43">
        <v>0</v>
      </c>
      <c r="P38" s="46">
        <v>1.9E-2</v>
      </c>
      <c r="Q38" s="47">
        <v>1132.58</v>
      </c>
      <c r="R38" s="47">
        <v>1131.77</v>
      </c>
      <c r="S38" s="47">
        <v>898.15</v>
      </c>
      <c r="T38" s="48">
        <v>13.805808600687419</v>
      </c>
      <c r="U38" s="47">
        <v>10487</v>
      </c>
      <c r="V38" s="47">
        <v>100</v>
      </c>
      <c r="W38" s="40"/>
    </row>
    <row r="39" spans="1:23" x14ac:dyDescent="0.2">
      <c r="A39" s="37" t="s">
        <v>57</v>
      </c>
      <c r="B39" s="9">
        <v>75</v>
      </c>
      <c r="C39" s="9">
        <v>75</v>
      </c>
      <c r="D39" s="9">
        <v>50</v>
      </c>
      <c r="E39" s="9">
        <v>60</v>
      </c>
      <c r="F39" s="9">
        <v>70</v>
      </c>
      <c r="G39" s="41">
        <v>60</v>
      </c>
      <c r="H39" s="42">
        <v>1160</v>
      </c>
      <c r="I39" s="43">
        <v>117</v>
      </c>
      <c r="J39" s="44">
        <v>13.572000000000001</v>
      </c>
      <c r="K39" s="43">
        <v>85.82586206896552</v>
      </c>
      <c r="L39" s="45">
        <v>0.11600000000000001</v>
      </c>
      <c r="M39" s="45">
        <v>3.6999999999999998E-2</v>
      </c>
      <c r="N39" s="43">
        <v>22.04</v>
      </c>
      <c r="O39" s="43">
        <v>0.5</v>
      </c>
      <c r="P39" s="46">
        <v>1.9E-2</v>
      </c>
      <c r="Q39" s="47">
        <v>996.29</v>
      </c>
      <c r="R39" s="47">
        <v>995.58</v>
      </c>
      <c r="S39" s="47">
        <v>769.36</v>
      </c>
      <c r="T39" s="48">
        <v>13.515739568894514</v>
      </c>
      <c r="U39" s="47">
        <v>7894</v>
      </c>
      <c r="V39" s="47">
        <v>80</v>
      </c>
      <c r="W39" s="40"/>
    </row>
    <row r="40" spans="1:23" x14ac:dyDescent="0.2">
      <c r="A40" s="37" t="s">
        <v>58</v>
      </c>
      <c r="B40" s="39">
        <v>70</v>
      </c>
      <c r="C40" s="9">
        <v>70</v>
      </c>
      <c r="D40" s="39">
        <v>55</v>
      </c>
      <c r="E40" s="39">
        <v>65</v>
      </c>
      <c r="F40" s="9">
        <v>60</v>
      </c>
      <c r="G40" s="41">
        <v>65</v>
      </c>
      <c r="H40" s="42">
        <v>1070</v>
      </c>
      <c r="I40" s="43">
        <v>112</v>
      </c>
      <c r="J40" s="44">
        <v>12.992000000000001</v>
      </c>
      <c r="K40" s="43">
        <v>81.869158878504678</v>
      </c>
      <c r="L40" s="45">
        <v>0.11600000000000001</v>
      </c>
      <c r="M40" s="45">
        <v>3.6999999999999998E-2</v>
      </c>
      <c r="N40" s="43">
        <v>20.329999999999998</v>
      </c>
      <c r="O40" s="43">
        <v>1</v>
      </c>
      <c r="P40" s="46">
        <v>1.9E-2</v>
      </c>
      <c r="Q40" s="47">
        <v>877</v>
      </c>
      <c r="R40" s="47">
        <v>876</v>
      </c>
      <c r="S40" s="47">
        <v>649</v>
      </c>
      <c r="T40" s="48">
        <v>13.069634703196346</v>
      </c>
      <c r="U40" s="47">
        <v>5880</v>
      </c>
      <c r="V40" s="47">
        <v>64</v>
      </c>
      <c r="W40" s="40"/>
    </row>
    <row r="41" spans="1:23" x14ac:dyDescent="0.2">
      <c r="A41" s="37" t="s">
        <v>59</v>
      </c>
      <c r="B41" s="9">
        <v>60</v>
      </c>
      <c r="C41" s="9">
        <v>65</v>
      </c>
      <c r="D41" s="9">
        <v>60</v>
      </c>
      <c r="E41" s="9">
        <v>70</v>
      </c>
      <c r="F41" s="9">
        <v>50</v>
      </c>
      <c r="G41" s="41">
        <v>70</v>
      </c>
      <c r="H41" s="42">
        <v>1000</v>
      </c>
      <c r="I41" s="43">
        <v>106</v>
      </c>
      <c r="J41" s="44">
        <v>12.296000000000001</v>
      </c>
      <c r="K41" s="43">
        <v>77.2</v>
      </c>
      <c r="L41" s="45">
        <v>0.11600000000000001</v>
      </c>
      <c r="M41" s="45">
        <v>3.6999999999999998E-2</v>
      </c>
      <c r="N41" s="43">
        <v>19</v>
      </c>
      <c r="O41" s="43">
        <v>1</v>
      </c>
      <c r="P41" s="46">
        <v>1.9E-2</v>
      </c>
      <c r="Q41" s="47">
        <v>773</v>
      </c>
      <c r="R41" s="47">
        <v>772</v>
      </c>
      <c r="S41" s="47">
        <v>541</v>
      </c>
      <c r="T41" s="48">
        <v>12.953367875647668</v>
      </c>
      <c r="U41" s="47">
        <v>4506</v>
      </c>
      <c r="V41" s="47">
        <v>51</v>
      </c>
      <c r="W41" s="40"/>
    </row>
    <row r="42" spans="1:23" x14ac:dyDescent="0.2">
      <c r="A42" s="37" t="s">
        <v>60</v>
      </c>
      <c r="B42" s="9">
        <v>50</v>
      </c>
      <c r="C42" s="9">
        <v>60</v>
      </c>
      <c r="D42" s="9">
        <v>65</v>
      </c>
      <c r="E42" s="9">
        <v>75</v>
      </c>
      <c r="F42" s="9">
        <v>40</v>
      </c>
      <c r="G42" s="41">
        <v>60</v>
      </c>
      <c r="H42" s="42">
        <v>940</v>
      </c>
      <c r="I42" s="43">
        <v>100</v>
      </c>
      <c r="J42" s="44">
        <v>11.600000000000001</v>
      </c>
      <c r="K42" s="43">
        <v>73.191489361702125</v>
      </c>
      <c r="L42" s="45">
        <v>0.11600000000000001</v>
      </c>
      <c r="M42" s="45">
        <v>3.6999999999999998E-2</v>
      </c>
      <c r="N42" s="43">
        <v>17.86</v>
      </c>
      <c r="O42" s="43">
        <v>1</v>
      </c>
      <c r="P42" s="46">
        <v>1.9E-2</v>
      </c>
      <c r="Q42" s="47">
        <v>689</v>
      </c>
      <c r="R42" s="47">
        <v>688</v>
      </c>
      <c r="S42" s="47">
        <v>456</v>
      </c>
      <c r="T42" s="48">
        <v>12.843023255813954</v>
      </c>
      <c r="U42" s="47">
        <v>3574</v>
      </c>
      <c r="V42" s="47">
        <v>40</v>
      </c>
      <c r="W42" s="40"/>
    </row>
    <row r="43" spans="1:23" x14ac:dyDescent="0.2">
      <c r="A43" s="37" t="s">
        <v>61</v>
      </c>
      <c r="B43" s="9">
        <v>40</v>
      </c>
      <c r="C43" s="9">
        <v>50</v>
      </c>
      <c r="D43" s="39">
        <v>70</v>
      </c>
      <c r="E43" s="39">
        <v>80</v>
      </c>
      <c r="F43" s="9">
        <v>30</v>
      </c>
      <c r="G43" s="41">
        <v>50</v>
      </c>
      <c r="H43" s="42">
        <v>880</v>
      </c>
      <c r="I43" s="43">
        <v>93</v>
      </c>
      <c r="J43" s="44">
        <v>10.788</v>
      </c>
      <c r="K43" s="43">
        <v>68.63636363636364</v>
      </c>
      <c r="L43" s="45">
        <v>0.11600000000000001</v>
      </c>
      <c r="M43" s="45">
        <v>3.6999999999999998E-2</v>
      </c>
      <c r="N43" s="43">
        <v>16.72</v>
      </c>
      <c r="O43" s="43">
        <v>1</v>
      </c>
      <c r="P43" s="46">
        <v>1.9E-2</v>
      </c>
      <c r="Q43" s="47">
        <v>604</v>
      </c>
      <c r="R43" s="47">
        <v>604</v>
      </c>
      <c r="S43" s="47">
        <v>373</v>
      </c>
      <c r="T43" s="48">
        <v>12.821192052980132</v>
      </c>
      <c r="U43" s="47">
        <v>2777</v>
      </c>
      <c r="V43" s="47">
        <v>31</v>
      </c>
      <c r="W43" s="40"/>
    </row>
    <row r="44" spans="1:23" x14ac:dyDescent="0.2"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</row>
  </sheetData>
  <mergeCells count="6">
    <mergeCell ref="A1:G1"/>
    <mergeCell ref="A2:G2"/>
    <mergeCell ref="A21:G21"/>
    <mergeCell ref="H22:V22"/>
    <mergeCell ref="A32:G32"/>
    <mergeCell ref="H33:V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workbookViewId="0">
      <selection activeCell="A21" sqref="A21"/>
    </sheetView>
  </sheetViews>
  <sheetFormatPr baseColWidth="10" defaultColWidth="8.83203125" defaultRowHeight="15" x14ac:dyDescent="0.2"/>
  <sheetData>
    <row r="1" spans="1:28" x14ac:dyDescent="0.2">
      <c r="A1" t="s">
        <v>0</v>
      </c>
    </row>
    <row r="2" spans="1:28" x14ac:dyDescent="0.2">
      <c r="A2" t="s">
        <v>1</v>
      </c>
    </row>
    <row r="3" spans="1:28" x14ac:dyDescent="0.2">
      <c r="B3" t="s">
        <v>2</v>
      </c>
      <c r="C3" t="s">
        <v>3</v>
      </c>
      <c r="D3" t="s">
        <v>4</v>
      </c>
    </row>
    <row r="4" spans="1:28" x14ac:dyDescent="0.2">
      <c r="A4" t="s">
        <v>5</v>
      </c>
      <c r="B4">
        <v>50</v>
      </c>
      <c r="C4">
        <v>5</v>
      </c>
      <c r="D4">
        <v>0.2</v>
      </c>
    </row>
    <row r="5" spans="1:28" x14ac:dyDescent="0.2">
      <c r="B5">
        <v>55</v>
      </c>
      <c r="C5">
        <v>10</v>
      </c>
      <c r="D5">
        <v>0.4</v>
      </c>
      <c r="W5" t="s">
        <v>6</v>
      </c>
    </row>
    <row r="6" spans="1:28" x14ac:dyDescent="0.2">
      <c r="B6">
        <v>60</v>
      </c>
      <c r="C6">
        <v>15</v>
      </c>
      <c r="D6">
        <v>0.6</v>
      </c>
      <c r="W6" t="s">
        <v>7</v>
      </c>
      <c r="X6" t="s">
        <v>8</v>
      </c>
      <c r="Y6" t="s">
        <v>9</v>
      </c>
      <c r="Z6" t="s">
        <v>10</v>
      </c>
      <c r="AA6" t="s">
        <v>11</v>
      </c>
      <c r="AB6" t="s">
        <v>12</v>
      </c>
    </row>
    <row r="7" spans="1:28" x14ac:dyDescent="0.2">
      <c r="B7">
        <v>65</v>
      </c>
      <c r="C7">
        <v>20</v>
      </c>
      <c r="D7">
        <v>0.8</v>
      </c>
      <c r="W7" t="s">
        <v>13</v>
      </c>
      <c r="X7">
        <v>0.57386487350743731</v>
      </c>
      <c r="Y7">
        <v>3.271918847016416</v>
      </c>
      <c r="Z7">
        <v>-1.3452552790599979E-2</v>
      </c>
      <c r="AA7">
        <v>-2.8245685286119731</v>
      </c>
      <c r="AB7">
        <v>-223.20064245111581</v>
      </c>
    </row>
    <row r="8" spans="1:28" x14ac:dyDescent="0.2">
      <c r="B8">
        <v>70</v>
      </c>
      <c r="C8">
        <v>25</v>
      </c>
      <c r="D8">
        <v>1</v>
      </c>
      <c r="W8" t="s">
        <v>14</v>
      </c>
      <c r="X8">
        <v>0.28693243675372537</v>
      </c>
      <c r="Y8">
        <v>1.635959423508174</v>
      </c>
      <c r="Z8">
        <v>-6.7262763953002116E-3</v>
      </c>
      <c r="AA8">
        <v>-1.4122842643060469</v>
      </c>
      <c r="AB8">
        <v>-66.60032122555937</v>
      </c>
    </row>
    <row r="9" spans="1:28" x14ac:dyDescent="0.2">
      <c r="B9">
        <v>75</v>
      </c>
      <c r="C9">
        <v>30</v>
      </c>
      <c r="D9">
        <v>1.2</v>
      </c>
      <c r="W9" t="s">
        <v>15</v>
      </c>
      <c r="X9">
        <v>-0.28693243675370572</v>
      </c>
      <c r="Y9">
        <v>-1.6359594235082959</v>
      </c>
      <c r="Z9">
        <v>6.7262763952999896E-3</v>
      </c>
      <c r="AA9">
        <v>1.4122842643058671</v>
      </c>
      <c r="AB9">
        <v>206.60032122555529</v>
      </c>
    </row>
    <row r="10" spans="1:28" x14ac:dyDescent="0.2">
      <c r="B10">
        <v>80</v>
      </c>
      <c r="C10">
        <v>35</v>
      </c>
      <c r="D10">
        <v>1.4</v>
      </c>
      <c r="W10" t="s">
        <v>16</v>
      </c>
      <c r="X10">
        <v>-0.28693243675370572</v>
      </c>
      <c r="Y10">
        <v>-1.6359594235082959</v>
      </c>
      <c r="Z10">
        <v>6.7262763952999896E-3</v>
      </c>
      <c r="AA10">
        <v>1.4122842643058671</v>
      </c>
      <c r="AB10">
        <v>206.60032122555529</v>
      </c>
    </row>
    <row r="11" spans="1:28" x14ac:dyDescent="0.2">
      <c r="B11">
        <v>85</v>
      </c>
      <c r="C11">
        <v>40</v>
      </c>
      <c r="D11">
        <v>1.6</v>
      </c>
      <c r="W11" t="s">
        <v>17</v>
      </c>
      <c r="X11">
        <v>0.5738648735074362</v>
      </c>
      <c r="Y11">
        <v>3.2719188470164089</v>
      </c>
      <c r="Z11">
        <v>-1.3452552790599979E-2</v>
      </c>
      <c r="AA11">
        <v>-2.8245685286119628</v>
      </c>
      <c r="AB11">
        <v>-233.2006424511153</v>
      </c>
    </row>
    <row r="12" spans="1:28" x14ac:dyDescent="0.2">
      <c r="B12">
        <v>90</v>
      </c>
      <c r="C12">
        <v>45</v>
      </c>
      <c r="D12">
        <v>1.8</v>
      </c>
      <c r="W12" t="s">
        <v>18</v>
      </c>
      <c r="X12">
        <v>0.28693243675372199</v>
      </c>
      <c r="Y12">
        <v>1.635959423508164</v>
      </c>
      <c r="Z12">
        <v>-6.7262763953002116E-3</v>
      </c>
      <c r="AA12">
        <v>-1.4122842643060201</v>
      </c>
      <c r="AB12">
        <v>-86.60032122555819</v>
      </c>
    </row>
    <row r="13" spans="1:28" x14ac:dyDescent="0.2">
      <c r="B13">
        <v>95</v>
      </c>
      <c r="C13">
        <v>50</v>
      </c>
      <c r="D13">
        <v>2</v>
      </c>
    </row>
    <row r="14" spans="1:28" x14ac:dyDescent="0.2">
      <c r="B14">
        <v>100</v>
      </c>
      <c r="D14">
        <v>2.2000000000000002</v>
      </c>
    </row>
    <row r="15" spans="1:28" x14ac:dyDescent="0.2">
      <c r="B15">
        <v>105</v>
      </c>
      <c r="D15">
        <v>2.4</v>
      </c>
    </row>
    <row r="16" spans="1:28" x14ac:dyDescent="0.2">
      <c r="B16">
        <v>110</v>
      </c>
      <c r="D16">
        <v>2.6</v>
      </c>
    </row>
    <row r="17" spans="1:22" x14ac:dyDescent="0.2">
      <c r="B17">
        <v>115</v>
      </c>
      <c r="D17">
        <v>2.8</v>
      </c>
    </row>
    <row r="18" spans="1:22" x14ac:dyDescent="0.2">
      <c r="D18">
        <v>3</v>
      </c>
    </row>
    <row r="19" spans="1:22" x14ac:dyDescent="0.2">
      <c r="D19">
        <v>3.2</v>
      </c>
    </row>
    <row r="22" spans="1:22" x14ac:dyDescent="0.2">
      <c r="A22" t="s">
        <v>19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20</v>
      </c>
    </row>
    <row r="23" spans="1:22" x14ac:dyDescent="0.2">
      <c r="A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 t="s">
        <v>34</v>
      </c>
      <c r="U23" t="s">
        <v>35</v>
      </c>
      <c r="V23" t="s">
        <v>36</v>
      </c>
    </row>
    <row r="24" spans="1:22" x14ac:dyDescent="0.2">
      <c r="A24" t="s">
        <v>37</v>
      </c>
      <c r="B24">
        <f t="shared" ref="B24:B29" si="0">MAX(0,MIN(100,$X$7*Q24+$Y$7*T24+$Z$7*U24+$AA$7*V24+$AB$7))</f>
        <v>80.012192793519318</v>
      </c>
      <c r="C24">
        <f t="shared" ref="C24:C29" si="1">MAX(0,MIN(100,$X$8*Q24+$Y$8*T24+$Z$8*U24+$AA$8*V24+$AB$8))</f>
        <v>85.006096396758849</v>
      </c>
      <c r="D24">
        <f t="shared" ref="D24:D29" si="2">MAX(0,MIN(100,$X$9*Q24+$Y$9*T24+$Z$9*U24+$AA$9*V24+$AB$9))</f>
        <v>54.993903603241051</v>
      </c>
      <c r="E24">
        <f t="shared" ref="E24:E29" si="3">MAX(0,MIN(100,$X$10*Q24+$Y$10*T24+$Z$10*U24+$AA$10*V24+$AB$10))</f>
        <v>54.993903603241051</v>
      </c>
      <c r="F24">
        <f t="shared" ref="F24:F29" si="4">MAX(0,MIN(100,$X$11*Q24+$Y$11*T24+$Z$11*U24+$AA$11*V24+$AB$11))</f>
        <v>70.012192793519262</v>
      </c>
      <c r="G24">
        <f t="shared" ref="G24:G29" si="5">MAX(0,MIN(100,$X$12*Q24+$Y$12*T24+$Z$12*U24+$AA$12*V24+$AB$12))</f>
        <v>65.006096396758352</v>
      </c>
      <c r="H24">
        <v>1180</v>
      </c>
      <c r="I24">
        <v>127</v>
      </c>
      <c r="J24">
        <v>14.73</v>
      </c>
      <c r="K24">
        <v>67.290000000000006</v>
      </c>
      <c r="L24" t="s">
        <v>38</v>
      </c>
      <c r="M24" t="s">
        <v>39</v>
      </c>
      <c r="N24">
        <v>22.42</v>
      </c>
      <c r="O24">
        <v>1</v>
      </c>
      <c r="P24" t="s">
        <v>40</v>
      </c>
      <c r="Q24">
        <v>794</v>
      </c>
      <c r="R24">
        <v>794</v>
      </c>
      <c r="S24">
        <v>497</v>
      </c>
      <c r="T24">
        <v>17.54</v>
      </c>
      <c r="U24">
        <v>6149</v>
      </c>
      <c r="V24">
        <v>45</v>
      </c>
    </row>
    <row r="25" spans="1:22" x14ac:dyDescent="0.2">
      <c r="A25" t="s">
        <v>41</v>
      </c>
      <c r="B25">
        <f t="shared" si="0"/>
        <v>69.90586351717053</v>
      </c>
      <c r="C25">
        <f t="shared" si="1"/>
        <v>79.952931758584597</v>
      </c>
      <c r="D25">
        <f t="shared" si="2"/>
        <v>60.047068241415218</v>
      </c>
      <c r="E25">
        <f t="shared" si="3"/>
        <v>60.047068241415218</v>
      </c>
      <c r="F25">
        <f t="shared" si="4"/>
        <v>59.905863517170587</v>
      </c>
      <c r="G25">
        <f t="shared" si="5"/>
        <v>59.95293175858427</v>
      </c>
      <c r="H25">
        <v>1090</v>
      </c>
      <c r="I25">
        <v>117.55</v>
      </c>
      <c r="J25">
        <v>13.64</v>
      </c>
      <c r="K25">
        <v>68.44</v>
      </c>
      <c r="L25" t="s">
        <v>38</v>
      </c>
      <c r="M25" t="s">
        <v>39</v>
      </c>
      <c r="N25">
        <v>23.23</v>
      </c>
      <c r="O25">
        <v>1</v>
      </c>
      <c r="P25" t="s">
        <v>42</v>
      </c>
      <c r="Q25">
        <v>746</v>
      </c>
      <c r="R25">
        <v>746</v>
      </c>
      <c r="S25">
        <v>480</v>
      </c>
      <c r="T25">
        <v>15.93</v>
      </c>
      <c r="U25">
        <v>4881</v>
      </c>
      <c r="V25">
        <v>43</v>
      </c>
    </row>
    <row r="26" spans="1:22" x14ac:dyDescent="0.2">
      <c r="A26" t="s">
        <v>43</v>
      </c>
      <c r="B26">
        <f t="shared" si="0"/>
        <v>60.144930853963842</v>
      </c>
      <c r="C26">
        <f t="shared" si="1"/>
        <v>75.072465426981481</v>
      </c>
      <c r="D26">
        <f t="shared" si="2"/>
        <v>64.927534573018562</v>
      </c>
      <c r="E26">
        <f t="shared" si="3"/>
        <v>64.927534573018562</v>
      </c>
      <c r="F26">
        <f t="shared" si="4"/>
        <v>50.144930853963842</v>
      </c>
      <c r="G26">
        <f t="shared" si="5"/>
        <v>55.072465426981154</v>
      </c>
      <c r="H26">
        <v>1020</v>
      </c>
      <c r="I26">
        <v>110</v>
      </c>
      <c r="J26">
        <v>12.76</v>
      </c>
      <c r="K26">
        <v>64.02</v>
      </c>
      <c r="L26" t="s">
        <v>38</v>
      </c>
      <c r="M26" t="s">
        <v>39</v>
      </c>
      <c r="N26">
        <v>19.95</v>
      </c>
      <c r="O26">
        <v>1</v>
      </c>
      <c r="P26" t="s">
        <v>44</v>
      </c>
      <c r="Q26">
        <v>653</v>
      </c>
      <c r="R26">
        <v>653</v>
      </c>
      <c r="S26">
        <v>394</v>
      </c>
      <c r="T26">
        <v>15.93</v>
      </c>
      <c r="U26">
        <v>3739</v>
      </c>
      <c r="V26">
        <v>33</v>
      </c>
    </row>
    <row r="27" spans="1:22" x14ac:dyDescent="0.2">
      <c r="A27" t="s">
        <v>45</v>
      </c>
      <c r="B27">
        <f t="shared" si="0"/>
        <v>50.092798407033911</v>
      </c>
      <c r="C27">
        <f t="shared" si="1"/>
        <v>70.046399203516685</v>
      </c>
      <c r="D27">
        <f t="shared" si="2"/>
        <v>69.953600796483471</v>
      </c>
      <c r="E27">
        <f t="shared" si="3"/>
        <v>69.953600796483471</v>
      </c>
      <c r="F27">
        <f t="shared" si="4"/>
        <v>40.092798407034024</v>
      </c>
      <c r="G27">
        <f t="shared" si="5"/>
        <v>50.046399203516444</v>
      </c>
      <c r="H27">
        <v>960</v>
      </c>
      <c r="I27">
        <v>102</v>
      </c>
      <c r="J27">
        <v>11.83</v>
      </c>
      <c r="K27">
        <v>60.21</v>
      </c>
      <c r="L27" t="s">
        <v>38</v>
      </c>
      <c r="M27" t="s">
        <v>39</v>
      </c>
      <c r="N27">
        <v>18.690000000000001</v>
      </c>
      <c r="O27">
        <v>1</v>
      </c>
      <c r="P27" t="s">
        <v>46</v>
      </c>
      <c r="Q27">
        <v>578</v>
      </c>
      <c r="R27">
        <v>578</v>
      </c>
      <c r="S27">
        <v>261</v>
      </c>
      <c r="T27">
        <v>15.94</v>
      </c>
      <c r="U27">
        <v>2969</v>
      </c>
      <c r="V27">
        <v>25</v>
      </c>
    </row>
    <row r="28" spans="1:22" x14ac:dyDescent="0.2">
      <c r="A28" t="s">
        <v>47</v>
      </c>
      <c r="B28">
        <f t="shared" si="0"/>
        <v>39.678220279269624</v>
      </c>
      <c r="C28">
        <f t="shared" si="1"/>
        <v>64.839110139634542</v>
      </c>
      <c r="D28">
        <f t="shared" si="2"/>
        <v>75.160889860365472</v>
      </c>
      <c r="E28">
        <f t="shared" si="3"/>
        <v>75.160889860365472</v>
      </c>
      <c r="F28">
        <f t="shared" si="4"/>
        <v>29.678220279269681</v>
      </c>
      <c r="G28">
        <f t="shared" si="5"/>
        <v>44.839110139634329</v>
      </c>
      <c r="H28">
        <v>920</v>
      </c>
      <c r="I28">
        <v>95</v>
      </c>
      <c r="J28">
        <v>11.02</v>
      </c>
      <c r="K28">
        <v>57.39</v>
      </c>
      <c r="L28" t="s">
        <v>38</v>
      </c>
      <c r="M28" t="s">
        <v>39</v>
      </c>
      <c r="N28">
        <v>19.09</v>
      </c>
      <c r="O28">
        <v>1</v>
      </c>
      <c r="P28" t="s">
        <v>48</v>
      </c>
      <c r="Q28">
        <v>528</v>
      </c>
      <c r="R28">
        <v>528</v>
      </c>
      <c r="S28">
        <v>170</v>
      </c>
      <c r="T28">
        <v>16.03</v>
      </c>
      <c r="U28">
        <v>2472</v>
      </c>
      <c r="V28">
        <v>21</v>
      </c>
    </row>
    <row r="29" spans="1:22" x14ac:dyDescent="0.2">
      <c r="A29" t="s">
        <v>49</v>
      </c>
      <c r="B29">
        <f t="shared" si="0"/>
        <v>30.165994149030467</v>
      </c>
      <c r="C29">
        <f t="shared" si="1"/>
        <v>60.082997074514921</v>
      </c>
      <c r="D29">
        <f t="shared" si="2"/>
        <v>79.917002925484866</v>
      </c>
      <c r="E29">
        <f t="shared" si="3"/>
        <v>79.917002925484866</v>
      </c>
      <c r="F29">
        <f t="shared" si="4"/>
        <v>20.165994149030553</v>
      </c>
      <c r="G29">
        <f t="shared" si="5"/>
        <v>40.082997074514736</v>
      </c>
      <c r="H29">
        <v>890</v>
      </c>
      <c r="I29">
        <v>92</v>
      </c>
      <c r="J29">
        <v>10.67</v>
      </c>
      <c r="K29">
        <v>55.63</v>
      </c>
      <c r="L29" t="s">
        <v>38</v>
      </c>
      <c r="M29" t="s">
        <v>39</v>
      </c>
      <c r="N29">
        <v>17.940000000000001</v>
      </c>
      <c r="O29">
        <v>1</v>
      </c>
      <c r="P29" t="s">
        <v>50</v>
      </c>
      <c r="Q29">
        <v>495</v>
      </c>
      <c r="R29">
        <v>495</v>
      </c>
      <c r="T29">
        <v>16</v>
      </c>
      <c r="U29">
        <v>2184</v>
      </c>
      <c r="V29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</row>
    <row r="2" spans="1:4" x14ac:dyDescent="0.2">
      <c r="A2" t="s">
        <v>1</v>
      </c>
    </row>
    <row r="3" spans="1:4" x14ac:dyDescent="0.2">
      <c r="B3" t="s">
        <v>2</v>
      </c>
      <c r="C3" t="s">
        <v>3</v>
      </c>
      <c r="D3" t="s">
        <v>4</v>
      </c>
    </row>
    <row r="4" spans="1:4" x14ac:dyDescent="0.2">
      <c r="A4" t="s">
        <v>5</v>
      </c>
      <c r="B4">
        <v>50</v>
      </c>
      <c r="C4">
        <v>5</v>
      </c>
      <c r="D4">
        <v>0.2</v>
      </c>
    </row>
    <row r="5" spans="1:4" x14ac:dyDescent="0.2">
      <c r="B5">
        <v>55</v>
      </c>
      <c r="C5">
        <v>10</v>
      </c>
      <c r="D5">
        <v>0.4</v>
      </c>
    </row>
    <row r="6" spans="1:4" x14ac:dyDescent="0.2">
      <c r="B6">
        <v>60</v>
      </c>
      <c r="C6">
        <v>15</v>
      </c>
      <c r="D6">
        <v>0.6</v>
      </c>
    </row>
    <row r="7" spans="1:4" x14ac:dyDescent="0.2">
      <c r="B7">
        <v>65</v>
      </c>
      <c r="C7">
        <v>20</v>
      </c>
      <c r="D7">
        <v>0.8</v>
      </c>
    </row>
    <row r="8" spans="1:4" x14ac:dyDescent="0.2">
      <c r="B8">
        <v>70</v>
      </c>
      <c r="C8">
        <v>25</v>
      </c>
      <c r="D8">
        <v>1</v>
      </c>
    </row>
    <row r="9" spans="1:4" x14ac:dyDescent="0.2">
      <c r="B9">
        <v>75</v>
      </c>
      <c r="C9">
        <v>30</v>
      </c>
      <c r="D9">
        <v>1.2</v>
      </c>
    </row>
    <row r="10" spans="1:4" x14ac:dyDescent="0.2">
      <c r="B10">
        <v>80</v>
      </c>
      <c r="C10">
        <v>35</v>
      </c>
      <c r="D10">
        <v>1.4</v>
      </c>
    </row>
    <row r="11" spans="1:4" x14ac:dyDescent="0.2">
      <c r="B11">
        <v>85</v>
      </c>
      <c r="C11">
        <v>40</v>
      </c>
      <c r="D11">
        <v>1.6</v>
      </c>
    </row>
    <row r="12" spans="1:4" x14ac:dyDescent="0.2">
      <c r="B12">
        <v>90</v>
      </c>
      <c r="C12">
        <v>45</v>
      </c>
      <c r="D12">
        <v>1.8</v>
      </c>
    </row>
    <row r="13" spans="1:4" x14ac:dyDescent="0.2">
      <c r="B13">
        <v>95</v>
      </c>
      <c r="C13">
        <v>50</v>
      </c>
      <c r="D13">
        <v>2</v>
      </c>
    </row>
    <row r="14" spans="1:4" x14ac:dyDescent="0.2">
      <c r="B14">
        <v>100</v>
      </c>
      <c r="D14">
        <v>2.2000000000000002</v>
      </c>
    </row>
    <row r="15" spans="1:4" x14ac:dyDescent="0.2">
      <c r="B15">
        <v>105</v>
      </c>
      <c r="D15">
        <v>2.4</v>
      </c>
    </row>
    <row r="16" spans="1:4" x14ac:dyDescent="0.2">
      <c r="B16">
        <v>110</v>
      </c>
      <c r="D16">
        <v>2.6</v>
      </c>
    </row>
    <row r="17" spans="1:22" x14ac:dyDescent="0.2">
      <c r="B17">
        <v>115</v>
      </c>
      <c r="D17">
        <v>2.8</v>
      </c>
    </row>
    <row r="18" spans="1:22" x14ac:dyDescent="0.2">
      <c r="D18">
        <v>3</v>
      </c>
    </row>
    <row r="19" spans="1:22" x14ac:dyDescent="0.2">
      <c r="D19">
        <v>3.2</v>
      </c>
    </row>
    <row r="21" spans="1:22" x14ac:dyDescent="0.2">
      <c r="A21" t="s">
        <v>51</v>
      </c>
    </row>
    <row r="22" spans="1:22" x14ac:dyDescent="0.2">
      <c r="A22" t="s">
        <v>19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20</v>
      </c>
    </row>
    <row r="23" spans="1:22" x14ac:dyDescent="0.2">
      <c r="A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 t="s">
        <v>34</v>
      </c>
      <c r="U23" t="s">
        <v>35</v>
      </c>
      <c r="V23" t="s">
        <v>36</v>
      </c>
    </row>
    <row r="24" spans="1:22" x14ac:dyDescent="0.2">
      <c r="A24" t="s">
        <v>37</v>
      </c>
      <c r="B24">
        <v>80</v>
      </c>
      <c r="C24">
        <v>85</v>
      </c>
      <c r="D24">
        <v>55</v>
      </c>
      <c r="E24">
        <v>55</v>
      </c>
      <c r="F24">
        <v>70</v>
      </c>
      <c r="G24">
        <v>65</v>
      </c>
      <c r="H24">
        <v>1180</v>
      </c>
      <c r="I24">
        <v>127</v>
      </c>
      <c r="J24">
        <v>14.73</v>
      </c>
      <c r="K24">
        <v>67.290000000000006</v>
      </c>
      <c r="L24" t="s">
        <v>38</v>
      </c>
      <c r="M24" t="s">
        <v>39</v>
      </c>
      <c r="N24">
        <v>22.42</v>
      </c>
      <c r="O24">
        <v>1</v>
      </c>
      <c r="P24" t="s">
        <v>40</v>
      </c>
      <c r="Q24">
        <v>794</v>
      </c>
      <c r="R24">
        <v>794</v>
      </c>
      <c r="S24">
        <v>497</v>
      </c>
      <c r="T24">
        <v>17.54</v>
      </c>
      <c r="U24">
        <v>6149</v>
      </c>
      <c r="V24">
        <v>45</v>
      </c>
    </row>
    <row r="25" spans="1:22" x14ac:dyDescent="0.2">
      <c r="A25" t="s">
        <v>41</v>
      </c>
      <c r="B25">
        <v>70</v>
      </c>
      <c r="C25">
        <v>80</v>
      </c>
      <c r="D25">
        <v>60</v>
      </c>
      <c r="E25">
        <v>60</v>
      </c>
      <c r="F25">
        <v>60</v>
      </c>
      <c r="G25">
        <v>60</v>
      </c>
      <c r="H25">
        <v>1090</v>
      </c>
      <c r="I25">
        <v>117.55</v>
      </c>
      <c r="J25">
        <v>13.64</v>
      </c>
      <c r="K25">
        <v>68.44</v>
      </c>
      <c r="L25" t="s">
        <v>38</v>
      </c>
      <c r="M25" t="s">
        <v>39</v>
      </c>
      <c r="N25">
        <v>23.23</v>
      </c>
      <c r="O25">
        <v>1</v>
      </c>
      <c r="P25" t="s">
        <v>42</v>
      </c>
      <c r="Q25">
        <v>746</v>
      </c>
      <c r="R25">
        <v>746</v>
      </c>
      <c r="S25">
        <v>480</v>
      </c>
      <c r="T25">
        <v>15.93</v>
      </c>
      <c r="U25">
        <v>4881</v>
      </c>
      <c r="V25">
        <v>43</v>
      </c>
    </row>
    <row r="26" spans="1:22" x14ac:dyDescent="0.2">
      <c r="A26" t="s">
        <v>43</v>
      </c>
      <c r="B26">
        <v>60</v>
      </c>
      <c r="C26">
        <v>75</v>
      </c>
      <c r="D26">
        <v>65</v>
      </c>
      <c r="E26">
        <v>65</v>
      </c>
      <c r="F26">
        <v>50</v>
      </c>
      <c r="G26">
        <v>55</v>
      </c>
      <c r="H26">
        <v>1020</v>
      </c>
      <c r="I26">
        <v>110</v>
      </c>
      <c r="J26">
        <v>12.76</v>
      </c>
      <c r="K26">
        <v>64.02</v>
      </c>
      <c r="L26" t="s">
        <v>38</v>
      </c>
      <c r="M26" t="s">
        <v>39</v>
      </c>
      <c r="N26">
        <v>19.95</v>
      </c>
      <c r="O26">
        <v>1</v>
      </c>
      <c r="P26" t="s">
        <v>44</v>
      </c>
      <c r="Q26">
        <v>653</v>
      </c>
      <c r="R26">
        <v>653</v>
      </c>
      <c r="S26">
        <v>394</v>
      </c>
      <c r="T26">
        <v>15.93</v>
      </c>
      <c r="U26">
        <v>3739</v>
      </c>
      <c r="V26">
        <v>33</v>
      </c>
    </row>
    <row r="27" spans="1:22" x14ac:dyDescent="0.2">
      <c r="A27" t="s">
        <v>45</v>
      </c>
      <c r="B27">
        <v>50</v>
      </c>
      <c r="C27">
        <v>70</v>
      </c>
      <c r="D27">
        <v>70</v>
      </c>
      <c r="E27">
        <v>70</v>
      </c>
      <c r="F27">
        <v>40</v>
      </c>
      <c r="G27">
        <v>50</v>
      </c>
      <c r="H27">
        <v>960</v>
      </c>
      <c r="I27">
        <v>102</v>
      </c>
      <c r="J27">
        <v>11.83</v>
      </c>
      <c r="K27">
        <v>60.21</v>
      </c>
      <c r="L27" t="s">
        <v>38</v>
      </c>
      <c r="M27" t="s">
        <v>39</v>
      </c>
      <c r="N27">
        <v>18.690000000000001</v>
      </c>
      <c r="O27">
        <v>1</v>
      </c>
      <c r="P27" t="s">
        <v>46</v>
      </c>
      <c r="Q27">
        <v>578</v>
      </c>
      <c r="R27">
        <v>578</v>
      </c>
      <c r="S27">
        <v>261</v>
      </c>
      <c r="T27">
        <v>15.94</v>
      </c>
      <c r="U27">
        <v>2969</v>
      </c>
      <c r="V27">
        <v>25</v>
      </c>
    </row>
    <row r="28" spans="1:22" x14ac:dyDescent="0.2">
      <c r="A28" t="s">
        <v>47</v>
      </c>
      <c r="B28">
        <v>40</v>
      </c>
      <c r="C28">
        <v>65</v>
      </c>
      <c r="D28">
        <v>75</v>
      </c>
      <c r="E28">
        <v>75</v>
      </c>
      <c r="F28">
        <v>30</v>
      </c>
      <c r="G28">
        <v>45</v>
      </c>
      <c r="H28">
        <v>920</v>
      </c>
      <c r="I28">
        <v>95</v>
      </c>
      <c r="J28">
        <v>11.02</v>
      </c>
      <c r="K28">
        <v>57.39</v>
      </c>
      <c r="L28" t="s">
        <v>38</v>
      </c>
      <c r="M28" t="s">
        <v>39</v>
      </c>
      <c r="N28">
        <v>19.09</v>
      </c>
      <c r="O28">
        <v>1</v>
      </c>
      <c r="P28" t="s">
        <v>48</v>
      </c>
      <c r="Q28">
        <v>528</v>
      </c>
      <c r="R28">
        <v>528</v>
      </c>
      <c r="S28">
        <v>170</v>
      </c>
      <c r="T28">
        <v>16.03</v>
      </c>
      <c r="U28">
        <v>2472</v>
      </c>
      <c r="V28">
        <v>21</v>
      </c>
    </row>
    <row r="29" spans="1:22" x14ac:dyDescent="0.2">
      <c r="A29" t="s">
        <v>49</v>
      </c>
      <c r="B29">
        <v>30</v>
      </c>
      <c r="C29">
        <v>60</v>
      </c>
      <c r="D29">
        <v>80</v>
      </c>
      <c r="E29">
        <v>80</v>
      </c>
      <c r="F29">
        <v>20</v>
      </c>
      <c r="G29">
        <v>40</v>
      </c>
      <c r="H29">
        <v>890</v>
      </c>
      <c r="I29">
        <v>92</v>
      </c>
      <c r="J29">
        <v>10.67</v>
      </c>
      <c r="K29">
        <v>55.63</v>
      </c>
      <c r="L29" t="s">
        <v>38</v>
      </c>
      <c r="M29" t="s">
        <v>39</v>
      </c>
      <c r="N29">
        <v>17.940000000000001</v>
      </c>
      <c r="O29">
        <v>1</v>
      </c>
      <c r="P29" t="s">
        <v>50</v>
      </c>
      <c r="Q29">
        <v>495</v>
      </c>
      <c r="R29">
        <v>495</v>
      </c>
      <c r="T29">
        <v>16</v>
      </c>
      <c r="U29">
        <v>2184</v>
      </c>
      <c r="V29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Terrain Values</vt:lpstr>
      <vt:lpstr>Model</vt:lpstr>
      <vt:lpstr>Terrain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Axmann</cp:lastModifiedBy>
  <dcterms:created xsi:type="dcterms:W3CDTF">2026-02-13T13:28:55Z</dcterms:created>
  <dcterms:modified xsi:type="dcterms:W3CDTF">2026-02-13T16:20:07Z</dcterms:modified>
</cp:coreProperties>
</file>